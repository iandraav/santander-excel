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Área de Trabalho\"/>
    </mc:Choice>
  </mc:AlternateContent>
  <xr:revisionPtr revIDLastSave="0" documentId="13_ncr:1_{FD7A66FE-A0FA-46DA-A984-543D80F29B6C}" xr6:coauthVersionLast="36" xr6:coauthVersionMax="36" xr10:uidLastSave="{00000000-0000-0000-0000-000000000000}"/>
  <bookViews>
    <workbookView xWindow="0" yWindow="0" windowWidth="20490" windowHeight="7695" xr2:uid="{207C14CA-42D5-4793-B4D3-E7863DB1B10D}"/>
  </bookViews>
  <sheets>
    <sheet name="Planilha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1" l="1"/>
  <c r="G10" i="1"/>
  <c r="I10" i="1" l="1"/>
  <c r="A12" i="1"/>
  <c r="B12" i="1"/>
  <c r="C12" i="1"/>
  <c r="E12" i="1" s="1"/>
  <c r="B13" i="1" s="1"/>
  <c r="D12" i="1"/>
  <c r="A13" i="1"/>
  <c r="D13" i="1"/>
  <c r="A14" i="1"/>
  <c r="D14" i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E11" i="1"/>
  <c r="D11" i="1"/>
  <c r="C11" i="1"/>
  <c r="B11" i="1"/>
  <c r="A11" i="1"/>
  <c r="E10" i="1"/>
  <c r="D10" i="1"/>
  <c r="C10" i="1"/>
  <c r="B10" i="1"/>
  <c r="B6" i="1"/>
  <c r="C13" i="1" l="1"/>
  <c r="E13" i="1"/>
  <c r="B14" i="1" s="1"/>
  <c r="C14" i="1" l="1"/>
  <c r="E14" i="1" s="1"/>
  <c r="B15" i="1" s="1"/>
  <c r="C15" i="1" l="1"/>
  <c r="E15" i="1"/>
  <c r="B16" i="1" s="1"/>
  <c r="C16" i="1" l="1"/>
  <c r="E16" i="1" s="1"/>
  <c r="B17" i="1" s="1"/>
  <c r="E17" i="1" l="1"/>
  <c r="B18" i="1" s="1"/>
  <c r="C17" i="1"/>
  <c r="C18" i="1" l="1"/>
  <c r="E18" i="1"/>
  <c r="B19" i="1" s="1"/>
  <c r="C19" i="1" l="1"/>
  <c r="E19" i="1"/>
  <c r="B20" i="1" s="1"/>
  <c r="C20" i="1" l="1"/>
  <c r="E20" i="1" s="1"/>
  <c r="B21" i="1" s="1"/>
  <c r="C21" i="1" l="1"/>
  <c r="E21" i="1"/>
  <c r="B22" i="1" s="1"/>
  <c r="C22" i="1" l="1"/>
  <c r="E22" i="1"/>
  <c r="B23" i="1" s="1"/>
  <c r="C23" i="1" l="1"/>
  <c r="E23" i="1"/>
  <c r="B24" i="1" s="1"/>
  <c r="C24" i="1" l="1"/>
  <c r="E24" i="1" s="1"/>
  <c r="B25" i="1" s="1"/>
  <c r="C25" i="1" l="1"/>
  <c r="E25" i="1"/>
  <c r="B26" i="1" s="1"/>
  <c r="C26" i="1" l="1"/>
  <c r="E26" i="1"/>
  <c r="B27" i="1" s="1"/>
  <c r="C27" i="1" l="1"/>
  <c r="E27" i="1"/>
  <c r="B28" i="1" s="1"/>
  <c r="C28" i="1" l="1"/>
  <c r="E28" i="1" s="1"/>
  <c r="B29" i="1" s="1"/>
  <c r="C29" i="1" l="1"/>
  <c r="E29" i="1" s="1"/>
  <c r="B30" i="1" s="1"/>
  <c r="C30" i="1" l="1"/>
  <c r="E30" i="1"/>
  <c r="B31" i="1" s="1"/>
  <c r="C31" i="1" l="1"/>
  <c r="E31" i="1" s="1"/>
  <c r="B32" i="1" s="1"/>
  <c r="C32" i="1" l="1"/>
  <c r="E32" i="1" s="1"/>
  <c r="B33" i="1" s="1"/>
  <c r="C33" i="1" l="1"/>
  <c r="E33" i="1" s="1"/>
  <c r="B34" i="1" s="1"/>
  <c r="C34" i="1" l="1"/>
  <c r="E34" i="1"/>
  <c r="B35" i="1" s="1"/>
  <c r="C35" i="1" l="1"/>
  <c r="E35" i="1" s="1"/>
  <c r="B36" i="1" s="1"/>
  <c r="C36" i="1" l="1"/>
  <c r="E36" i="1" s="1"/>
  <c r="B37" i="1" s="1"/>
  <c r="E37" i="1" l="1"/>
  <c r="B38" i="1" s="1"/>
  <c r="C37" i="1"/>
  <c r="C38" i="1" l="1"/>
  <c r="E38" i="1"/>
  <c r="B39" i="1" s="1"/>
  <c r="C39" i="1" l="1"/>
  <c r="E39" i="1" s="1"/>
  <c r="B40" i="1" s="1"/>
  <c r="C40" i="1" l="1"/>
  <c r="E40" i="1" s="1"/>
  <c r="B41" i="1" s="1"/>
  <c r="C41" i="1" l="1"/>
  <c r="E41" i="1" s="1"/>
  <c r="B42" i="1" s="1"/>
  <c r="C42" i="1" l="1"/>
  <c r="E42" i="1"/>
  <c r="B43" i="1" s="1"/>
  <c r="C43" i="1" l="1"/>
  <c r="E43" i="1" s="1"/>
  <c r="B44" i="1" s="1"/>
  <c r="C44" i="1" l="1"/>
  <c r="E44" i="1" s="1"/>
  <c r="B45" i="1" s="1"/>
  <c r="C45" i="1" l="1"/>
  <c r="E45" i="1" s="1"/>
  <c r="B46" i="1" s="1"/>
  <c r="C46" i="1" l="1"/>
  <c r="E46" i="1"/>
  <c r="B47" i="1" s="1"/>
  <c r="C47" i="1" l="1"/>
  <c r="E47" i="1" s="1"/>
  <c r="B48" i="1" s="1"/>
  <c r="C48" i="1" l="1"/>
  <c r="E48" i="1" s="1"/>
  <c r="B49" i="1" s="1"/>
  <c r="C49" i="1" l="1"/>
  <c r="E49" i="1" s="1"/>
  <c r="B50" i="1" s="1"/>
  <c r="C50" i="1" l="1"/>
  <c r="E50" i="1"/>
  <c r="B51" i="1" s="1"/>
  <c r="C51" i="1" l="1"/>
  <c r="E51" i="1" s="1"/>
  <c r="B52" i="1" s="1"/>
  <c r="C52" i="1" l="1"/>
  <c r="E52" i="1" s="1"/>
  <c r="B53" i="1" s="1"/>
  <c r="C53" i="1" l="1"/>
  <c r="E53" i="1" s="1"/>
  <c r="B54" i="1" s="1"/>
  <c r="C54" i="1" l="1"/>
  <c r="E54" i="1"/>
  <c r="B55" i="1" s="1"/>
  <c r="C55" i="1" l="1"/>
  <c r="E55" i="1" s="1"/>
  <c r="B56" i="1" s="1"/>
  <c r="C56" i="1" l="1"/>
  <c r="E56" i="1" s="1"/>
  <c r="B57" i="1" s="1"/>
  <c r="C57" i="1" l="1"/>
  <c r="E57" i="1" s="1"/>
  <c r="B58" i="1" s="1"/>
  <c r="C58" i="1" l="1"/>
  <c r="E58" i="1" s="1"/>
  <c r="B59" i="1" s="1"/>
  <c r="C59" i="1" l="1"/>
  <c r="E59" i="1"/>
  <c r="B60" i="1" s="1"/>
  <c r="C60" i="1" l="1"/>
  <c r="E60" i="1" s="1"/>
  <c r="B61" i="1" s="1"/>
  <c r="C61" i="1" l="1"/>
  <c r="E61" i="1" s="1"/>
  <c r="B62" i="1" s="1"/>
  <c r="C62" i="1" l="1"/>
  <c r="E62" i="1"/>
  <c r="B63" i="1" s="1"/>
  <c r="C63" i="1" l="1"/>
  <c r="E63" i="1"/>
  <c r="B64" i="1" s="1"/>
  <c r="C64" i="1" l="1"/>
  <c r="E64" i="1" s="1"/>
  <c r="B65" i="1" s="1"/>
  <c r="C65" i="1" l="1"/>
  <c r="E65" i="1" s="1"/>
  <c r="B66" i="1" s="1"/>
  <c r="C66" i="1" l="1"/>
  <c r="E66" i="1"/>
  <c r="B67" i="1" s="1"/>
  <c r="C67" i="1" l="1"/>
  <c r="E67" i="1"/>
  <c r="B68" i="1" s="1"/>
  <c r="C68" i="1" l="1"/>
  <c r="E68" i="1" s="1"/>
  <c r="B69" i="1" s="1"/>
  <c r="C69" i="1" l="1"/>
  <c r="E69" i="1" s="1"/>
  <c r="B70" i="1" s="1"/>
  <c r="C70" i="1" l="1"/>
  <c r="E70" i="1"/>
</calcChain>
</file>

<file path=xl/sharedStrings.xml><?xml version="1.0" encoding="utf-8"?>
<sst xmlns="http://schemas.openxmlformats.org/spreadsheetml/2006/main" count="13" uniqueCount="13">
  <si>
    <t>VALOR INICIAL</t>
  </si>
  <si>
    <t>APORTE MENSAL</t>
  </si>
  <si>
    <t>TAXA DE JUROS MENSAL (YIELD)</t>
  </si>
  <si>
    <t>TEMPO (ANOS)</t>
  </si>
  <si>
    <t>TEMPO EM MESES</t>
  </si>
  <si>
    <t>MÊS</t>
  </si>
  <si>
    <t>SALDO INICIAL</t>
  </si>
  <si>
    <t>RENDIMENTO (DIVIDENDOS)</t>
  </si>
  <si>
    <t>APORTE</t>
  </si>
  <si>
    <t>SALDO FINAL</t>
  </si>
  <si>
    <t>TOTAL INVESTIDO</t>
  </si>
  <si>
    <t>PATRIMÔNIO FINAL</t>
  </si>
  <si>
    <t>TOTAL EM RENDIMENTOS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</si>
</sst>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64" fontId="3" fillId="0" borderId="0" xfId="1" applyNumberFormat="1" applyFont="1"/>
    <xf numFmtId="8" fontId="3" fillId="0" borderId="0" xfId="0" applyNumberFormat="1" applyFont="1"/>
    <xf numFmtId="8" fontId="2" fillId="0" borderId="0" xfId="0" applyNumberFormat="1" applyFont="1"/>
    <xf numFmtId="0" fontId="3" fillId="0" borderId="0" xfId="0" applyNumberFormat="1" applyFont="1"/>
    <xf numFmtId="44" fontId="3" fillId="0" borderId="0" xfId="2" applyFont="1"/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DO PATRIMÔNIO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Planilha1!$E$9</c:f>
              <c:strCache>
                <c:ptCount val="1"/>
                <c:pt idx="0">
                  <c:v>SALDO FINAL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Planilha1!$E$10:$E$70</c:f>
              <c:numCache>
                <c:formatCode>"R$"#,##0.00_);[Red]\("R$"#,##0.00\)</c:formatCode>
                <c:ptCount val="61"/>
                <c:pt idx="0">
                  <c:v>1508</c:v>
                </c:pt>
                <c:pt idx="1">
                  <c:v>2020.0640000000001</c:v>
                </c:pt>
                <c:pt idx="2">
                  <c:v>2536.2245119999998</c:v>
                </c:pt>
                <c:pt idx="3">
                  <c:v>3056.5143080959997</c:v>
                </c:pt>
                <c:pt idx="4">
                  <c:v>3580.9664225607676</c:v>
                </c:pt>
                <c:pt idx="5">
                  <c:v>4109.6141539412538</c:v>
                </c:pt>
                <c:pt idx="6">
                  <c:v>4642.4910671727839</c:v>
                </c:pt>
                <c:pt idx="7">
                  <c:v>5179.6309957101657</c:v>
                </c:pt>
                <c:pt idx="8">
                  <c:v>5721.0680436758466</c:v>
                </c:pt>
                <c:pt idx="9">
                  <c:v>6266.8365880252531</c:v>
                </c:pt>
                <c:pt idx="10">
                  <c:v>6816.9712807294554</c:v>
                </c:pt>
                <c:pt idx="11">
                  <c:v>7371.5070509752913</c:v>
                </c:pt>
                <c:pt idx="12">
                  <c:v>7930.4791073830938</c:v>
                </c:pt>
                <c:pt idx="13">
                  <c:v>8493.9229402421588</c:v>
                </c:pt>
                <c:pt idx="14">
                  <c:v>9061.8743237640956</c:v>
                </c:pt>
                <c:pt idx="15">
                  <c:v>9634.3693183542091</c:v>
                </c:pt>
                <c:pt idx="16">
                  <c:v>10211.444272901042</c:v>
                </c:pt>
                <c:pt idx="17">
                  <c:v>10793.13582708425</c:v>
                </c:pt>
                <c:pt idx="18">
                  <c:v>11379.480913700923</c:v>
                </c:pt>
                <c:pt idx="19">
                  <c:v>11970.516761010531</c:v>
                </c:pt>
                <c:pt idx="20">
                  <c:v>12566.280895098615</c:v>
                </c:pt>
                <c:pt idx="21">
                  <c:v>13166.811142259403</c:v>
                </c:pt>
                <c:pt idx="22">
                  <c:v>13772.145631397478</c:v>
                </c:pt>
                <c:pt idx="23">
                  <c:v>14382.322796448658</c:v>
                </c:pt>
                <c:pt idx="24">
                  <c:v>14997.381378820248</c:v>
                </c:pt>
                <c:pt idx="25">
                  <c:v>15617.360429850809</c:v>
                </c:pt>
                <c:pt idx="26">
                  <c:v>16242.299313289615</c:v>
                </c:pt>
                <c:pt idx="27">
                  <c:v>16872.237707795932</c:v>
                </c:pt>
                <c:pt idx="28">
                  <c:v>17507.215609458301</c:v>
                </c:pt>
                <c:pt idx="29">
                  <c:v>18147.273334333968</c:v>
                </c:pt>
                <c:pt idx="30">
                  <c:v>18792.451521008639</c:v>
                </c:pt>
                <c:pt idx="31">
                  <c:v>19442.79113317671</c:v>
                </c:pt>
                <c:pt idx="32">
                  <c:v>20098.333462242124</c:v>
                </c:pt>
                <c:pt idx="33">
                  <c:v>20759.12012994006</c:v>
                </c:pt>
                <c:pt idx="34">
                  <c:v>21425.193090979581</c:v>
                </c:pt>
                <c:pt idx="35">
                  <c:v>22096.594635707417</c:v>
                </c:pt>
                <c:pt idx="36">
                  <c:v>22773.367392793076</c:v>
                </c:pt>
                <c:pt idx="37">
                  <c:v>23455.554331935422</c:v>
                </c:pt>
                <c:pt idx="38">
                  <c:v>24143.198766590904</c:v>
                </c:pt>
                <c:pt idx="39">
                  <c:v>24836.344356723632</c:v>
                </c:pt>
                <c:pt idx="40">
                  <c:v>25535.035111577421</c:v>
                </c:pt>
                <c:pt idx="41">
                  <c:v>26239.315392470042</c:v>
                </c:pt>
                <c:pt idx="42">
                  <c:v>26949.229915609802</c:v>
                </c:pt>
                <c:pt idx="43">
                  <c:v>27664.823754934681</c:v>
                </c:pt>
                <c:pt idx="44">
                  <c:v>28386.14234497416</c:v>
                </c:pt>
                <c:pt idx="45">
                  <c:v>29113.231483733955</c:v>
                </c:pt>
                <c:pt idx="46">
                  <c:v>29846.137335603828</c:v>
                </c:pt>
                <c:pt idx="47">
                  <c:v>30584.90643428866</c:v>
                </c:pt>
                <c:pt idx="48">
                  <c:v>31329.58568576297</c:v>
                </c:pt>
                <c:pt idx="49">
                  <c:v>32080.222371249074</c:v>
                </c:pt>
                <c:pt idx="50">
                  <c:v>32836.864150219066</c:v>
                </c:pt>
                <c:pt idx="51">
                  <c:v>33599.55906342082</c:v>
                </c:pt>
                <c:pt idx="52">
                  <c:v>34368.355535928189</c:v>
                </c:pt>
                <c:pt idx="53">
                  <c:v>35143.302380215617</c:v>
                </c:pt>
                <c:pt idx="54">
                  <c:v>35924.448799257341</c:v>
                </c:pt>
                <c:pt idx="55">
                  <c:v>36711.8443896514</c:v>
                </c:pt>
                <c:pt idx="56">
                  <c:v>37505.539144768612</c:v>
                </c:pt>
                <c:pt idx="57">
                  <c:v>38305.583457926761</c:v>
                </c:pt>
                <c:pt idx="58">
                  <c:v>39112.028125590172</c:v>
                </c:pt>
                <c:pt idx="59">
                  <c:v>39924.924350594891</c:v>
                </c:pt>
                <c:pt idx="60">
                  <c:v>40744.323745399648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77-4A07-B47E-734AEBD1E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342239"/>
        <c:axId val="57001257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Planilha1!$A$9</c15:sqref>
                        </c15:formulaRef>
                      </c:ext>
                    </c:extLst>
                    <c:strCache>
                      <c:ptCount val="1"/>
                      <c:pt idx="0">
                        <c:v>MÊS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Planilha1!$A$10:$A$70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777-4A07-B47E-734AEBD1EC31}"/>
                  </c:ext>
                </c:extLst>
              </c15:ser>
            </c15:filteredLineSeries>
          </c:ext>
        </c:extLst>
      </c:lineChart>
      <c:catAx>
        <c:axId val="582342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0012575"/>
        <c:crosses val="autoZero"/>
        <c:auto val="1"/>
        <c:lblAlgn val="ctr"/>
        <c:lblOffset val="100"/>
        <c:noMultiLvlLbl val="0"/>
      </c:catAx>
      <c:valAx>
        <c:axId val="57001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234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224516</xdr:colOff>
      <xdr:row>10</xdr:row>
      <xdr:rowOff>111579</xdr:rowOff>
    </xdr:from>
    <xdr:to>
      <xdr:col>18</xdr:col>
      <xdr:colOff>449035</xdr:colOff>
      <xdr:row>36</xdr:row>
      <xdr:rowOff>81642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A505BC-6B7F-4427-BD64-0F6B76C6E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74811-4654-412E-9A2C-EC29867BE3A3}">
  <dimension ref="A2:I70"/>
  <sheetViews>
    <sheetView showGridLines="0" tabSelected="1" zoomScale="70" zoomScaleNormal="70" workbookViewId="0">
      <selection activeCell="H19" sqref="H19"/>
    </sheetView>
  </sheetViews>
  <sheetFormatPr defaultRowHeight="15.75" x14ac:dyDescent="0.25"/>
  <cols>
    <col min="1" max="1" width="33" style="3" bestFit="1" customWidth="1"/>
    <col min="2" max="2" width="15.140625" style="6" bestFit="1" customWidth="1"/>
    <col min="3" max="3" width="29.140625" style="6" bestFit="1" customWidth="1"/>
    <col min="4" max="4" width="11" style="6" bestFit="1" customWidth="1"/>
    <col min="5" max="5" width="14" style="6" bestFit="1" customWidth="1"/>
    <col min="6" max="6" width="9.140625" style="2"/>
    <col min="7" max="7" width="18.5703125" style="2" bestFit="1" customWidth="1"/>
    <col min="8" max="8" width="20.42578125" style="2" bestFit="1" customWidth="1"/>
    <col min="9" max="9" width="26.7109375" style="2" bestFit="1" customWidth="1"/>
    <col min="10" max="16384" width="9.140625" style="2"/>
  </cols>
  <sheetData>
    <row r="2" spans="1:9" x14ac:dyDescent="0.25">
      <c r="A2" s="3" t="s">
        <v>0</v>
      </c>
      <c r="B2" s="6">
        <v>1000</v>
      </c>
    </row>
    <row r="3" spans="1:9" x14ac:dyDescent="0.25">
      <c r="A3" s="3" t="s">
        <v>1</v>
      </c>
      <c r="B3" s="6">
        <v>500</v>
      </c>
    </row>
    <row r="4" spans="1:9" x14ac:dyDescent="0.25">
      <c r="A4" s="3" t="s">
        <v>2</v>
      </c>
      <c r="B4" s="5">
        <v>8.0000000000000002E-3</v>
      </c>
    </row>
    <row r="5" spans="1:9" x14ac:dyDescent="0.25">
      <c r="A5" s="3" t="s">
        <v>3</v>
      </c>
      <c r="B5" s="8">
        <v>5</v>
      </c>
    </row>
    <row r="6" spans="1:9" x14ac:dyDescent="0.25">
      <c r="A6" s="3" t="s">
        <v>4</v>
      </c>
      <c r="B6" s="8">
        <f>B5*12</f>
        <v>60</v>
      </c>
    </row>
    <row r="9" spans="1:9" s="1" customFormat="1" x14ac:dyDescent="0.25">
      <c r="A9" s="3" t="s">
        <v>5</v>
      </c>
      <c r="B9" s="7" t="s">
        <v>6</v>
      </c>
      <c r="C9" s="7" t="s">
        <v>7</v>
      </c>
      <c r="D9" s="7" t="s">
        <v>8</v>
      </c>
      <c r="E9" s="7" t="s">
        <v>9</v>
      </c>
      <c r="G9" s="1" t="s">
        <v>10</v>
      </c>
      <c r="H9" s="1" t="s">
        <v>11</v>
      </c>
      <c r="I9" s="1" t="s">
        <v>12</v>
      </c>
    </row>
    <row r="10" spans="1:9" x14ac:dyDescent="0.25">
      <c r="A10" s="4">
        <v>1</v>
      </c>
      <c r="B10" s="6">
        <f>B2</f>
        <v>1000</v>
      </c>
      <c r="C10" s="6">
        <f>B10*$B$4</f>
        <v>8</v>
      </c>
      <c r="D10" s="6">
        <f>$B$3</f>
        <v>500</v>
      </c>
      <c r="E10" s="6">
        <f>SUM(B10:D10)</f>
        <v>1508</v>
      </c>
      <c r="G10" s="6">
        <f>B2+(B3*B6)</f>
        <v>31000</v>
      </c>
      <c r="H10" s="6">
        <f>MAX(E:E)</f>
        <v>40744.323745399648</v>
      </c>
      <c r="I10" s="9">
        <f>H10-G10</f>
        <v>9744.323745399648</v>
      </c>
    </row>
    <row r="11" spans="1:9" x14ac:dyDescent="0.25">
      <c r="A11" s="4">
        <f>A10+1</f>
        <v>2</v>
      </c>
      <c r="B11" s="6">
        <f>E10</f>
        <v>1508</v>
      </c>
      <c r="C11" s="6">
        <f>B11*$B$4</f>
        <v>12.064</v>
      </c>
      <c r="D11" s="6">
        <f>$B$3</f>
        <v>500</v>
      </c>
      <c r="E11" s="6">
        <f>SUM(B11:D11)</f>
        <v>2020.0640000000001</v>
      </c>
    </row>
    <row r="12" spans="1:9" x14ac:dyDescent="0.25">
      <c r="A12" s="4">
        <f t="shared" ref="A12:A70" si="0">A11+1</f>
        <v>3</v>
      </c>
      <c r="B12" s="6">
        <f t="shared" ref="B12:B70" si="1">E11</f>
        <v>2020.0640000000001</v>
      </c>
      <c r="C12" s="6">
        <f t="shared" ref="C12:C70" si="2">B12*$B$4</f>
        <v>16.160512000000001</v>
      </c>
      <c r="D12" s="6">
        <f t="shared" ref="D12:D70" si="3">$B$3</f>
        <v>500</v>
      </c>
      <c r="E12" s="6">
        <f t="shared" ref="E12:E70" si="4">SUM(B12:D12)</f>
        <v>2536.2245119999998</v>
      </c>
    </row>
    <row r="13" spans="1:9" x14ac:dyDescent="0.25">
      <c r="A13" s="4">
        <f t="shared" si="0"/>
        <v>4</v>
      </c>
      <c r="B13" s="6">
        <f t="shared" si="1"/>
        <v>2536.2245119999998</v>
      </c>
      <c r="C13" s="6">
        <f t="shared" si="2"/>
        <v>20.289796096</v>
      </c>
      <c r="D13" s="6">
        <f t="shared" si="3"/>
        <v>500</v>
      </c>
      <c r="E13" s="6">
        <f t="shared" si="4"/>
        <v>3056.5143080959997</v>
      </c>
    </row>
    <row r="14" spans="1:9" x14ac:dyDescent="0.25">
      <c r="A14" s="4">
        <f t="shared" si="0"/>
        <v>5</v>
      </c>
      <c r="B14" s="6">
        <f t="shared" si="1"/>
        <v>3056.5143080959997</v>
      </c>
      <c r="C14" s="6">
        <f t="shared" si="2"/>
        <v>24.452114464767998</v>
      </c>
      <c r="D14" s="6">
        <f t="shared" si="3"/>
        <v>500</v>
      </c>
      <c r="E14" s="6">
        <f t="shared" si="4"/>
        <v>3580.9664225607676</v>
      </c>
    </row>
    <row r="15" spans="1:9" x14ac:dyDescent="0.25">
      <c r="A15" s="4">
        <f t="shared" si="0"/>
        <v>6</v>
      </c>
      <c r="B15" s="6">
        <f t="shared" si="1"/>
        <v>3580.9664225607676</v>
      </c>
      <c r="C15" s="6">
        <f t="shared" si="2"/>
        <v>28.647731380486142</v>
      </c>
      <c r="D15" s="6">
        <f t="shared" si="3"/>
        <v>500</v>
      </c>
      <c r="E15" s="6">
        <f t="shared" si="4"/>
        <v>4109.6141539412538</v>
      </c>
    </row>
    <row r="16" spans="1:9" x14ac:dyDescent="0.25">
      <c r="A16" s="4">
        <f t="shared" si="0"/>
        <v>7</v>
      </c>
      <c r="B16" s="6">
        <f t="shared" si="1"/>
        <v>4109.6141539412538</v>
      </c>
      <c r="C16" s="6">
        <f t="shared" si="2"/>
        <v>32.876913231530033</v>
      </c>
      <c r="D16" s="6">
        <f t="shared" si="3"/>
        <v>500</v>
      </c>
      <c r="E16" s="6">
        <f t="shared" si="4"/>
        <v>4642.4910671727839</v>
      </c>
    </row>
    <row r="17" spans="1:5" x14ac:dyDescent="0.25">
      <c r="A17" s="4">
        <f t="shared" si="0"/>
        <v>8</v>
      </c>
      <c r="B17" s="6">
        <f t="shared" si="1"/>
        <v>4642.4910671727839</v>
      </c>
      <c r="C17" s="6">
        <f t="shared" si="2"/>
        <v>37.139928537382275</v>
      </c>
      <c r="D17" s="6">
        <f t="shared" si="3"/>
        <v>500</v>
      </c>
      <c r="E17" s="6">
        <f t="shared" si="4"/>
        <v>5179.6309957101657</v>
      </c>
    </row>
    <row r="18" spans="1:5" x14ac:dyDescent="0.25">
      <c r="A18" s="4">
        <f t="shared" si="0"/>
        <v>9</v>
      </c>
      <c r="B18" s="6">
        <f t="shared" si="1"/>
        <v>5179.6309957101657</v>
      </c>
      <c r="C18" s="6">
        <f t="shared" si="2"/>
        <v>41.43704796568133</v>
      </c>
      <c r="D18" s="6">
        <f t="shared" si="3"/>
        <v>500</v>
      </c>
      <c r="E18" s="6">
        <f t="shared" si="4"/>
        <v>5721.0680436758466</v>
      </c>
    </row>
    <row r="19" spans="1:5" x14ac:dyDescent="0.25">
      <c r="A19" s="4">
        <f t="shared" si="0"/>
        <v>10</v>
      </c>
      <c r="B19" s="6">
        <f t="shared" si="1"/>
        <v>5721.0680436758466</v>
      </c>
      <c r="C19" s="6">
        <f t="shared" si="2"/>
        <v>45.768544349406774</v>
      </c>
      <c r="D19" s="6">
        <f t="shared" si="3"/>
        <v>500</v>
      </c>
      <c r="E19" s="6">
        <f t="shared" si="4"/>
        <v>6266.8365880252531</v>
      </c>
    </row>
    <row r="20" spans="1:5" x14ac:dyDescent="0.25">
      <c r="A20" s="4">
        <f t="shared" si="0"/>
        <v>11</v>
      </c>
      <c r="B20" s="6">
        <f t="shared" si="1"/>
        <v>6266.8365880252531</v>
      </c>
      <c r="C20" s="6">
        <f t="shared" si="2"/>
        <v>50.134692704202024</v>
      </c>
      <c r="D20" s="6">
        <f t="shared" si="3"/>
        <v>500</v>
      </c>
      <c r="E20" s="6">
        <f t="shared" si="4"/>
        <v>6816.9712807294554</v>
      </c>
    </row>
    <row r="21" spans="1:5" x14ac:dyDescent="0.25">
      <c r="A21" s="4">
        <f t="shared" si="0"/>
        <v>12</v>
      </c>
      <c r="B21" s="6">
        <f t="shared" si="1"/>
        <v>6816.9712807294554</v>
      </c>
      <c r="C21" s="6">
        <f t="shared" si="2"/>
        <v>54.535770245835643</v>
      </c>
      <c r="D21" s="6">
        <f t="shared" si="3"/>
        <v>500</v>
      </c>
      <c r="E21" s="6">
        <f t="shared" si="4"/>
        <v>7371.5070509752913</v>
      </c>
    </row>
    <row r="22" spans="1:5" x14ac:dyDescent="0.25">
      <c r="A22" s="4">
        <f t="shared" si="0"/>
        <v>13</v>
      </c>
      <c r="B22" s="6">
        <f t="shared" si="1"/>
        <v>7371.5070509752913</v>
      </c>
      <c r="C22" s="6">
        <f t="shared" si="2"/>
        <v>58.972056407802334</v>
      </c>
      <c r="D22" s="6">
        <f t="shared" si="3"/>
        <v>500</v>
      </c>
      <c r="E22" s="6">
        <f t="shared" si="4"/>
        <v>7930.4791073830938</v>
      </c>
    </row>
    <row r="23" spans="1:5" x14ac:dyDescent="0.25">
      <c r="A23" s="4">
        <f t="shared" si="0"/>
        <v>14</v>
      </c>
      <c r="B23" s="6">
        <f t="shared" si="1"/>
        <v>7930.4791073830938</v>
      </c>
      <c r="C23" s="6">
        <f t="shared" si="2"/>
        <v>63.443832859064749</v>
      </c>
      <c r="D23" s="6">
        <f t="shared" si="3"/>
        <v>500</v>
      </c>
      <c r="E23" s="6">
        <f t="shared" si="4"/>
        <v>8493.9229402421588</v>
      </c>
    </row>
    <row r="24" spans="1:5" x14ac:dyDescent="0.25">
      <c r="A24" s="4">
        <f t="shared" si="0"/>
        <v>15</v>
      </c>
      <c r="B24" s="6">
        <f t="shared" si="1"/>
        <v>8493.9229402421588</v>
      </c>
      <c r="C24" s="6">
        <f t="shared" si="2"/>
        <v>67.951383521937274</v>
      </c>
      <c r="D24" s="6">
        <f t="shared" si="3"/>
        <v>500</v>
      </c>
      <c r="E24" s="6">
        <f t="shared" si="4"/>
        <v>9061.8743237640956</v>
      </c>
    </row>
    <row r="25" spans="1:5" x14ac:dyDescent="0.25">
      <c r="A25" s="4">
        <f t="shared" si="0"/>
        <v>16</v>
      </c>
      <c r="B25" s="6">
        <f t="shared" si="1"/>
        <v>9061.8743237640956</v>
      </c>
      <c r="C25" s="6">
        <f t="shared" si="2"/>
        <v>72.494994590112768</v>
      </c>
      <c r="D25" s="6">
        <f t="shared" si="3"/>
        <v>500</v>
      </c>
      <c r="E25" s="6">
        <f t="shared" si="4"/>
        <v>9634.3693183542091</v>
      </c>
    </row>
    <row r="26" spans="1:5" x14ac:dyDescent="0.25">
      <c r="A26" s="4">
        <f t="shared" si="0"/>
        <v>17</v>
      </c>
      <c r="B26" s="6">
        <f t="shared" si="1"/>
        <v>9634.3693183542091</v>
      </c>
      <c r="C26" s="6">
        <f t="shared" si="2"/>
        <v>77.074954546833681</v>
      </c>
      <c r="D26" s="6">
        <f t="shared" si="3"/>
        <v>500</v>
      </c>
      <c r="E26" s="6">
        <f t="shared" si="4"/>
        <v>10211.444272901042</v>
      </c>
    </row>
    <row r="27" spans="1:5" x14ac:dyDescent="0.25">
      <c r="A27" s="4">
        <f t="shared" si="0"/>
        <v>18</v>
      </c>
      <c r="B27" s="6">
        <f t="shared" si="1"/>
        <v>10211.444272901042</v>
      </c>
      <c r="C27" s="6">
        <f t="shared" si="2"/>
        <v>81.691554183208339</v>
      </c>
      <c r="D27" s="6">
        <f t="shared" si="3"/>
        <v>500</v>
      </c>
      <c r="E27" s="6">
        <f t="shared" si="4"/>
        <v>10793.13582708425</v>
      </c>
    </row>
    <row r="28" spans="1:5" x14ac:dyDescent="0.25">
      <c r="A28" s="4">
        <f t="shared" si="0"/>
        <v>19</v>
      </c>
      <c r="B28" s="6">
        <f t="shared" si="1"/>
        <v>10793.13582708425</v>
      </c>
      <c r="C28" s="6">
        <f t="shared" si="2"/>
        <v>86.34508661667401</v>
      </c>
      <c r="D28" s="6">
        <f t="shared" si="3"/>
        <v>500</v>
      </c>
      <c r="E28" s="6">
        <f t="shared" si="4"/>
        <v>11379.480913700923</v>
      </c>
    </row>
    <row r="29" spans="1:5" x14ac:dyDescent="0.25">
      <c r="A29" s="4">
        <f t="shared" si="0"/>
        <v>20</v>
      </c>
      <c r="B29" s="6">
        <f t="shared" si="1"/>
        <v>11379.480913700923</v>
      </c>
      <c r="C29" s="6">
        <f t="shared" si="2"/>
        <v>91.035847309607391</v>
      </c>
      <c r="D29" s="6">
        <f t="shared" si="3"/>
        <v>500</v>
      </c>
      <c r="E29" s="6">
        <f t="shared" si="4"/>
        <v>11970.516761010531</v>
      </c>
    </row>
    <row r="30" spans="1:5" x14ac:dyDescent="0.25">
      <c r="A30" s="4">
        <f t="shared" si="0"/>
        <v>21</v>
      </c>
      <c r="B30" s="6">
        <f t="shared" si="1"/>
        <v>11970.516761010531</v>
      </c>
      <c r="C30" s="6">
        <f t="shared" si="2"/>
        <v>95.764134088084248</v>
      </c>
      <c r="D30" s="6">
        <f t="shared" si="3"/>
        <v>500</v>
      </c>
      <c r="E30" s="6">
        <f t="shared" si="4"/>
        <v>12566.280895098615</v>
      </c>
    </row>
    <row r="31" spans="1:5" x14ac:dyDescent="0.25">
      <c r="A31" s="4">
        <f t="shared" si="0"/>
        <v>22</v>
      </c>
      <c r="B31" s="6">
        <f t="shared" si="1"/>
        <v>12566.280895098615</v>
      </c>
      <c r="C31" s="6">
        <f t="shared" si="2"/>
        <v>100.53024716078892</v>
      </c>
      <c r="D31" s="6">
        <f t="shared" si="3"/>
        <v>500</v>
      </c>
      <c r="E31" s="6">
        <f t="shared" si="4"/>
        <v>13166.811142259403</v>
      </c>
    </row>
    <row r="32" spans="1:5" x14ac:dyDescent="0.25">
      <c r="A32" s="4">
        <f t="shared" si="0"/>
        <v>23</v>
      </c>
      <c r="B32" s="6">
        <f t="shared" si="1"/>
        <v>13166.811142259403</v>
      </c>
      <c r="C32" s="6">
        <f t="shared" si="2"/>
        <v>105.33448913807523</v>
      </c>
      <c r="D32" s="6">
        <f t="shared" si="3"/>
        <v>500</v>
      </c>
      <c r="E32" s="6">
        <f t="shared" si="4"/>
        <v>13772.145631397478</v>
      </c>
    </row>
    <row r="33" spans="1:5" x14ac:dyDescent="0.25">
      <c r="A33" s="4">
        <f t="shared" si="0"/>
        <v>24</v>
      </c>
      <c r="B33" s="6">
        <f t="shared" si="1"/>
        <v>13772.145631397478</v>
      </c>
      <c r="C33" s="6">
        <f t="shared" si="2"/>
        <v>110.17716505117983</v>
      </c>
      <c r="D33" s="6">
        <f t="shared" si="3"/>
        <v>500</v>
      </c>
      <c r="E33" s="6">
        <f t="shared" si="4"/>
        <v>14382.322796448658</v>
      </c>
    </row>
    <row r="34" spans="1:5" x14ac:dyDescent="0.25">
      <c r="A34" s="4">
        <f t="shared" si="0"/>
        <v>25</v>
      </c>
      <c r="B34" s="6">
        <f t="shared" si="1"/>
        <v>14382.322796448658</v>
      </c>
      <c r="C34" s="6">
        <f t="shared" si="2"/>
        <v>115.05858237158927</v>
      </c>
      <c r="D34" s="6">
        <f t="shared" si="3"/>
        <v>500</v>
      </c>
      <c r="E34" s="6">
        <f t="shared" si="4"/>
        <v>14997.381378820248</v>
      </c>
    </row>
    <row r="35" spans="1:5" x14ac:dyDescent="0.25">
      <c r="A35" s="4">
        <f t="shared" si="0"/>
        <v>26</v>
      </c>
      <c r="B35" s="6">
        <f t="shared" si="1"/>
        <v>14997.381378820248</v>
      </c>
      <c r="C35" s="6">
        <f t="shared" si="2"/>
        <v>119.97905103056199</v>
      </c>
      <c r="D35" s="6">
        <f t="shared" si="3"/>
        <v>500</v>
      </c>
      <c r="E35" s="6">
        <f t="shared" si="4"/>
        <v>15617.360429850809</v>
      </c>
    </row>
    <row r="36" spans="1:5" x14ac:dyDescent="0.25">
      <c r="A36" s="4">
        <f t="shared" si="0"/>
        <v>27</v>
      </c>
      <c r="B36" s="6">
        <f t="shared" si="1"/>
        <v>15617.360429850809</v>
      </c>
      <c r="C36" s="6">
        <f t="shared" si="2"/>
        <v>124.93888343880647</v>
      </c>
      <c r="D36" s="6">
        <f t="shared" si="3"/>
        <v>500</v>
      </c>
      <c r="E36" s="6">
        <f t="shared" si="4"/>
        <v>16242.299313289615</v>
      </c>
    </row>
    <row r="37" spans="1:5" x14ac:dyDescent="0.25">
      <c r="A37" s="4">
        <f t="shared" si="0"/>
        <v>28</v>
      </c>
      <c r="B37" s="6">
        <f t="shared" si="1"/>
        <v>16242.299313289615</v>
      </c>
      <c r="C37" s="6">
        <f t="shared" si="2"/>
        <v>129.93839450631694</v>
      </c>
      <c r="D37" s="6">
        <f t="shared" si="3"/>
        <v>500</v>
      </c>
      <c r="E37" s="6">
        <f t="shared" si="4"/>
        <v>16872.237707795932</v>
      </c>
    </row>
    <row r="38" spans="1:5" x14ac:dyDescent="0.25">
      <c r="A38" s="4">
        <f t="shared" si="0"/>
        <v>29</v>
      </c>
      <c r="B38" s="6">
        <f t="shared" si="1"/>
        <v>16872.237707795932</v>
      </c>
      <c r="C38" s="6">
        <f t="shared" si="2"/>
        <v>134.97790166236746</v>
      </c>
      <c r="D38" s="6">
        <f t="shared" si="3"/>
        <v>500</v>
      </c>
      <c r="E38" s="6">
        <f t="shared" si="4"/>
        <v>17507.215609458301</v>
      </c>
    </row>
    <row r="39" spans="1:5" x14ac:dyDescent="0.25">
      <c r="A39" s="4">
        <f t="shared" si="0"/>
        <v>30</v>
      </c>
      <c r="B39" s="6">
        <f t="shared" si="1"/>
        <v>17507.215609458301</v>
      </c>
      <c r="C39" s="6">
        <f t="shared" si="2"/>
        <v>140.05772487566639</v>
      </c>
      <c r="D39" s="6">
        <f t="shared" si="3"/>
        <v>500</v>
      </c>
      <c r="E39" s="6">
        <f t="shared" si="4"/>
        <v>18147.273334333968</v>
      </c>
    </row>
    <row r="40" spans="1:5" x14ac:dyDescent="0.25">
      <c r="A40" s="4">
        <f t="shared" si="0"/>
        <v>31</v>
      </c>
      <c r="B40" s="6">
        <f t="shared" si="1"/>
        <v>18147.273334333968</v>
      </c>
      <c r="C40" s="6">
        <f t="shared" si="2"/>
        <v>145.17818667467174</v>
      </c>
      <c r="D40" s="6">
        <f t="shared" si="3"/>
        <v>500</v>
      </c>
      <c r="E40" s="6">
        <f t="shared" si="4"/>
        <v>18792.451521008639</v>
      </c>
    </row>
    <row r="41" spans="1:5" x14ac:dyDescent="0.25">
      <c r="A41" s="4">
        <f t="shared" si="0"/>
        <v>32</v>
      </c>
      <c r="B41" s="6">
        <f t="shared" si="1"/>
        <v>18792.451521008639</v>
      </c>
      <c r="C41" s="6">
        <f t="shared" si="2"/>
        <v>150.33961216806912</v>
      </c>
      <c r="D41" s="6">
        <f t="shared" si="3"/>
        <v>500</v>
      </c>
      <c r="E41" s="6">
        <f t="shared" si="4"/>
        <v>19442.79113317671</v>
      </c>
    </row>
    <row r="42" spans="1:5" x14ac:dyDescent="0.25">
      <c r="A42" s="4">
        <f t="shared" si="0"/>
        <v>33</v>
      </c>
      <c r="B42" s="6">
        <f t="shared" si="1"/>
        <v>19442.79113317671</v>
      </c>
      <c r="C42" s="6">
        <f t="shared" si="2"/>
        <v>155.5423290654137</v>
      </c>
      <c r="D42" s="6">
        <f t="shared" si="3"/>
        <v>500</v>
      </c>
      <c r="E42" s="6">
        <f t="shared" si="4"/>
        <v>20098.333462242124</v>
      </c>
    </row>
    <row r="43" spans="1:5" x14ac:dyDescent="0.25">
      <c r="A43" s="4">
        <f t="shared" si="0"/>
        <v>34</v>
      </c>
      <c r="B43" s="6">
        <f t="shared" si="1"/>
        <v>20098.333462242124</v>
      </c>
      <c r="C43" s="6">
        <f t="shared" si="2"/>
        <v>160.78666769793699</v>
      </c>
      <c r="D43" s="6">
        <f t="shared" si="3"/>
        <v>500</v>
      </c>
      <c r="E43" s="6">
        <f t="shared" si="4"/>
        <v>20759.12012994006</v>
      </c>
    </row>
    <row r="44" spans="1:5" x14ac:dyDescent="0.25">
      <c r="A44" s="4">
        <f t="shared" si="0"/>
        <v>35</v>
      </c>
      <c r="B44" s="6">
        <f t="shared" si="1"/>
        <v>20759.12012994006</v>
      </c>
      <c r="C44" s="6">
        <f t="shared" si="2"/>
        <v>166.07296103952049</v>
      </c>
      <c r="D44" s="6">
        <f t="shared" si="3"/>
        <v>500</v>
      </c>
      <c r="E44" s="6">
        <f t="shared" si="4"/>
        <v>21425.193090979581</v>
      </c>
    </row>
    <row r="45" spans="1:5" x14ac:dyDescent="0.25">
      <c r="A45" s="4">
        <f t="shared" si="0"/>
        <v>36</v>
      </c>
      <c r="B45" s="6">
        <f t="shared" si="1"/>
        <v>21425.193090979581</v>
      </c>
      <c r="C45" s="6">
        <f t="shared" si="2"/>
        <v>171.40154472783667</v>
      </c>
      <c r="D45" s="6">
        <f t="shared" si="3"/>
        <v>500</v>
      </c>
      <c r="E45" s="6">
        <f t="shared" si="4"/>
        <v>22096.594635707417</v>
      </c>
    </row>
    <row r="46" spans="1:5" x14ac:dyDescent="0.25">
      <c r="A46" s="4">
        <f t="shared" si="0"/>
        <v>37</v>
      </c>
      <c r="B46" s="6">
        <f t="shared" si="1"/>
        <v>22096.594635707417</v>
      </c>
      <c r="C46" s="6">
        <f t="shared" si="2"/>
        <v>176.77275708565935</v>
      </c>
      <c r="D46" s="6">
        <f t="shared" si="3"/>
        <v>500</v>
      </c>
      <c r="E46" s="6">
        <f t="shared" si="4"/>
        <v>22773.367392793076</v>
      </c>
    </row>
    <row r="47" spans="1:5" x14ac:dyDescent="0.25">
      <c r="A47" s="4">
        <f t="shared" si="0"/>
        <v>38</v>
      </c>
      <c r="B47" s="6">
        <f t="shared" si="1"/>
        <v>22773.367392793076</v>
      </c>
      <c r="C47" s="6">
        <f t="shared" si="2"/>
        <v>182.18693914234461</v>
      </c>
      <c r="D47" s="6">
        <f t="shared" si="3"/>
        <v>500</v>
      </c>
      <c r="E47" s="6">
        <f t="shared" si="4"/>
        <v>23455.554331935422</v>
      </c>
    </row>
    <row r="48" spans="1:5" x14ac:dyDescent="0.25">
      <c r="A48" s="4">
        <f t="shared" si="0"/>
        <v>39</v>
      </c>
      <c r="B48" s="6">
        <f t="shared" si="1"/>
        <v>23455.554331935422</v>
      </c>
      <c r="C48" s="6">
        <f t="shared" si="2"/>
        <v>187.64443465548337</v>
      </c>
      <c r="D48" s="6">
        <f t="shared" si="3"/>
        <v>500</v>
      </c>
      <c r="E48" s="6">
        <f t="shared" si="4"/>
        <v>24143.198766590904</v>
      </c>
    </row>
    <row r="49" spans="1:5" x14ac:dyDescent="0.25">
      <c r="A49" s="4">
        <f t="shared" si="0"/>
        <v>40</v>
      </c>
      <c r="B49" s="6">
        <f t="shared" si="1"/>
        <v>24143.198766590904</v>
      </c>
      <c r="C49" s="6">
        <f t="shared" si="2"/>
        <v>193.14559013272722</v>
      </c>
      <c r="D49" s="6">
        <f t="shared" si="3"/>
        <v>500</v>
      </c>
      <c r="E49" s="6">
        <f t="shared" si="4"/>
        <v>24836.344356723632</v>
      </c>
    </row>
    <row r="50" spans="1:5" x14ac:dyDescent="0.25">
      <c r="A50" s="4">
        <f t="shared" si="0"/>
        <v>41</v>
      </c>
      <c r="B50" s="6">
        <f t="shared" si="1"/>
        <v>24836.344356723632</v>
      </c>
      <c r="C50" s="6">
        <f t="shared" si="2"/>
        <v>198.69075485378906</v>
      </c>
      <c r="D50" s="6">
        <f t="shared" si="3"/>
        <v>500</v>
      </c>
      <c r="E50" s="6">
        <f t="shared" si="4"/>
        <v>25535.035111577421</v>
      </c>
    </row>
    <row r="51" spans="1:5" x14ac:dyDescent="0.25">
      <c r="A51" s="4">
        <f t="shared" si="0"/>
        <v>42</v>
      </c>
      <c r="B51" s="6">
        <f t="shared" si="1"/>
        <v>25535.035111577421</v>
      </c>
      <c r="C51" s="6">
        <f t="shared" si="2"/>
        <v>204.28028089261937</v>
      </c>
      <c r="D51" s="6">
        <f t="shared" si="3"/>
        <v>500</v>
      </c>
      <c r="E51" s="6">
        <f t="shared" si="4"/>
        <v>26239.315392470042</v>
      </c>
    </row>
    <row r="52" spans="1:5" x14ac:dyDescent="0.25">
      <c r="A52" s="4">
        <f t="shared" si="0"/>
        <v>43</v>
      </c>
      <c r="B52" s="6">
        <f t="shared" si="1"/>
        <v>26239.315392470042</v>
      </c>
      <c r="C52" s="6">
        <f t="shared" si="2"/>
        <v>209.91452313976035</v>
      </c>
      <c r="D52" s="6">
        <f t="shared" si="3"/>
        <v>500</v>
      </c>
      <c r="E52" s="6">
        <f t="shared" si="4"/>
        <v>26949.229915609802</v>
      </c>
    </row>
    <row r="53" spans="1:5" x14ac:dyDescent="0.25">
      <c r="A53" s="4">
        <f t="shared" si="0"/>
        <v>44</v>
      </c>
      <c r="B53" s="6">
        <f t="shared" si="1"/>
        <v>26949.229915609802</v>
      </c>
      <c r="C53" s="6">
        <f t="shared" si="2"/>
        <v>215.59383932487842</v>
      </c>
      <c r="D53" s="6">
        <f t="shared" si="3"/>
        <v>500</v>
      </c>
      <c r="E53" s="6">
        <f t="shared" si="4"/>
        <v>27664.823754934681</v>
      </c>
    </row>
    <row r="54" spans="1:5" x14ac:dyDescent="0.25">
      <c r="A54" s="4">
        <f t="shared" si="0"/>
        <v>45</v>
      </c>
      <c r="B54" s="6">
        <f t="shared" si="1"/>
        <v>27664.823754934681</v>
      </c>
      <c r="C54" s="6">
        <f t="shared" si="2"/>
        <v>221.31859003947744</v>
      </c>
      <c r="D54" s="6">
        <f t="shared" si="3"/>
        <v>500</v>
      </c>
      <c r="E54" s="6">
        <f t="shared" si="4"/>
        <v>28386.14234497416</v>
      </c>
    </row>
    <row r="55" spans="1:5" x14ac:dyDescent="0.25">
      <c r="A55" s="4">
        <f t="shared" si="0"/>
        <v>46</v>
      </c>
      <c r="B55" s="6">
        <f t="shared" si="1"/>
        <v>28386.14234497416</v>
      </c>
      <c r="C55" s="6">
        <f t="shared" si="2"/>
        <v>227.08913875979329</v>
      </c>
      <c r="D55" s="6">
        <f t="shared" si="3"/>
        <v>500</v>
      </c>
      <c r="E55" s="6">
        <f t="shared" si="4"/>
        <v>29113.231483733955</v>
      </c>
    </row>
    <row r="56" spans="1:5" x14ac:dyDescent="0.25">
      <c r="A56" s="4">
        <f t="shared" si="0"/>
        <v>47</v>
      </c>
      <c r="B56" s="6">
        <f t="shared" si="1"/>
        <v>29113.231483733955</v>
      </c>
      <c r="C56" s="6">
        <f t="shared" si="2"/>
        <v>232.90585186987164</v>
      </c>
      <c r="D56" s="6">
        <f t="shared" si="3"/>
        <v>500</v>
      </c>
      <c r="E56" s="6">
        <f t="shared" si="4"/>
        <v>29846.137335603828</v>
      </c>
    </row>
    <row r="57" spans="1:5" x14ac:dyDescent="0.25">
      <c r="A57" s="4">
        <f t="shared" si="0"/>
        <v>48</v>
      </c>
      <c r="B57" s="6">
        <f t="shared" si="1"/>
        <v>29846.137335603828</v>
      </c>
      <c r="C57" s="6">
        <f t="shared" si="2"/>
        <v>238.76909868483062</v>
      </c>
      <c r="D57" s="6">
        <f t="shared" si="3"/>
        <v>500</v>
      </c>
      <c r="E57" s="6">
        <f t="shared" si="4"/>
        <v>30584.90643428866</v>
      </c>
    </row>
    <row r="58" spans="1:5" x14ac:dyDescent="0.25">
      <c r="A58" s="4">
        <f t="shared" si="0"/>
        <v>49</v>
      </c>
      <c r="B58" s="6">
        <f t="shared" si="1"/>
        <v>30584.90643428866</v>
      </c>
      <c r="C58" s="6">
        <f t="shared" si="2"/>
        <v>244.67925147430927</v>
      </c>
      <c r="D58" s="6">
        <f t="shared" si="3"/>
        <v>500</v>
      </c>
      <c r="E58" s="6">
        <f t="shared" si="4"/>
        <v>31329.58568576297</v>
      </c>
    </row>
    <row r="59" spans="1:5" x14ac:dyDescent="0.25">
      <c r="A59" s="4">
        <f t="shared" si="0"/>
        <v>50</v>
      </c>
      <c r="B59" s="6">
        <f t="shared" si="1"/>
        <v>31329.58568576297</v>
      </c>
      <c r="C59" s="6">
        <f t="shared" si="2"/>
        <v>250.63668548610377</v>
      </c>
      <c r="D59" s="6">
        <f t="shared" si="3"/>
        <v>500</v>
      </c>
      <c r="E59" s="6">
        <f t="shared" si="4"/>
        <v>32080.222371249074</v>
      </c>
    </row>
    <row r="60" spans="1:5" x14ac:dyDescent="0.25">
      <c r="A60" s="4">
        <f t="shared" si="0"/>
        <v>51</v>
      </c>
      <c r="B60" s="6">
        <f t="shared" si="1"/>
        <v>32080.222371249074</v>
      </c>
      <c r="C60" s="6">
        <f t="shared" si="2"/>
        <v>256.64177896999257</v>
      </c>
      <c r="D60" s="6">
        <f t="shared" si="3"/>
        <v>500</v>
      </c>
      <c r="E60" s="6">
        <f t="shared" si="4"/>
        <v>32836.864150219066</v>
      </c>
    </row>
    <row r="61" spans="1:5" x14ac:dyDescent="0.25">
      <c r="A61" s="4">
        <f t="shared" si="0"/>
        <v>52</v>
      </c>
      <c r="B61" s="6">
        <f t="shared" si="1"/>
        <v>32836.864150219066</v>
      </c>
      <c r="C61" s="6">
        <f t="shared" si="2"/>
        <v>262.69491320175251</v>
      </c>
      <c r="D61" s="6">
        <f t="shared" si="3"/>
        <v>500</v>
      </c>
      <c r="E61" s="6">
        <f t="shared" si="4"/>
        <v>33599.55906342082</v>
      </c>
    </row>
    <row r="62" spans="1:5" x14ac:dyDescent="0.25">
      <c r="A62" s="4">
        <f t="shared" si="0"/>
        <v>53</v>
      </c>
      <c r="B62" s="6">
        <f t="shared" si="1"/>
        <v>33599.55906342082</v>
      </c>
      <c r="C62" s="6">
        <f t="shared" si="2"/>
        <v>268.79647250736656</v>
      </c>
      <c r="D62" s="6">
        <f t="shared" si="3"/>
        <v>500</v>
      </c>
      <c r="E62" s="6">
        <f t="shared" si="4"/>
        <v>34368.355535928189</v>
      </c>
    </row>
    <row r="63" spans="1:5" x14ac:dyDescent="0.25">
      <c r="A63" s="4">
        <f t="shared" si="0"/>
        <v>54</v>
      </c>
      <c r="B63" s="6">
        <f t="shared" si="1"/>
        <v>34368.355535928189</v>
      </c>
      <c r="C63" s="6">
        <f t="shared" si="2"/>
        <v>274.94684428742551</v>
      </c>
      <c r="D63" s="6">
        <f t="shared" si="3"/>
        <v>500</v>
      </c>
      <c r="E63" s="6">
        <f t="shared" si="4"/>
        <v>35143.302380215617</v>
      </c>
    </row>
    <row r="64" spans="1:5" x14ac:dyDescent="0.25">
      <c r="A64" s="4">
        <f t="shared" si="0"/>
        <v>55</v>
      </c>
      <c r="B64" s="6">
        <f t="shared" si="1"/>
        <v>35143.302380215617</v>
      </c>
      <c r="C64" s="6">
        <f t="shared" si="2"/>
        <v>281.14641904172493</v>
      </c>
      <c r="D64" s="6">
        <f t="shared" si="3"/>
        <v>500</v>
      </c>
      <c r="E64" s="6">
        <f t="shared" si="4"/>
        <v>35924.448799257341</v>
      </c>
    </row>
    <row r="65" spans="1:5" x14ac:dyDescent="0.25">
      <c r="A65" s="4">
        <f t="shared" si="0"/>
        <v>56</v>
      </c>
      <c r="B65" s="6">
        <f t="shared" si="1"/>
        <v>35924.448799257341</v>
      </c>
      <c r="C65" s="6">
        <f t="shared" si="2"/>
        <v>287.39559039405873</v>
      </c>
      <c r="D65" s="6">
        <f t="shared" si="3"/>
        <v>500</v>
      </c>
      <c r="E65" s="6">
        <f t="shared" si="4"/>
        <v>36711.8443896514</v>
      </c>
    </row>
    <row r="66" spans="1:5" x14ac:dyDescent="0.25">
      <c r="A66" s="4">
        <f t="shared" si="0"/>
        <v>57</v>
      </c>
      <c r="B66" s="6">
        <f t="shared" si="1"/>
        <v>36711.8443896514</v>
      </c>
      <c r="C66" s="6">
        <f t="shared" si="2"/>
        <v>293.69475511721123</v>
      </c>
      <c r="D66" s="6">
        <f t="shared" si="3"/>
        <v>500</v>
      </c>
      <c r="E66" s="6">
        <f t="shared" si="4"/>
        <v>37505.539144768612</v>
      </c>
    </row>
    <row r="67" spans="1:5" x14ac:dyDescent="0.25">
      <c r="A67" s="4">
        <f t="shared" si="0"/>
        <v>58</v>
      </c>
      <c r="B67" s="6">
        <f t="shared" si="1"/>
        <v>37505.539144768612</v>
      </c>
      <c r="C67" s="6">
        <f t="shared" si="2"/>
        <v>300.0443131581489</v>
      </c>
      <c r="D67" s="6">
        <f t="shared" si="3"/>
        <v>500</v>
      </c>
      <c r="E67" s="6">
        <f t="shared" si="4"/>
        <v>38305.583457926761</v>
      </c>
    </row>
    <row r="68" spans="1:5" x14ac:dyDescent="0.25">
      <c r="A68" s="4">
        <f t="shared" si="0"/>
        <v>59</v>
      </c>
      <c r="B68" s="6">
        <f t="shared" si="1"/>
        <v>38305.583457926761</v>
      </c>
      <c r="C68" s="6">
        <f t="shared" si="2"/>
        <v>306.44466766341412</v>
      </c>
      <c r="D68" s="6">
        <f t="shared" si="3"/>
        <v>500</v>
      </c>
      <c r="E68" s="6">
        <f t="shared" si="4"/>
        <v>39112.028125590172</v>
      </c>
    </row>
    <row r="69" spans="1:5" x14ac:dyDescent="0.25">
      <c r="A69" s="4">
        <f t="shared" si="0"/>
        <v>60</v>
      </c>
      <c r="B69" s="6">
        <f t="shared" si="1"/>
        <v>39112.028125590172</v>
      </c>
      <c r="C69" s="6">
        <f t="shared" si="2"/>
        <v>312.89622500472137</v>
      </c>
      <c r="D69" s="6">
        <f t="shared" si="3"/>
        <v>500</v>
      </c>
      <c r="E69" s="6">
        <f t="shared" si="4"/>
        <v>39924.924350594891</v>
      </c>
    </row>
    <row r="70" spans="1:5" x14ac:dyDescent="0.25">
      <c r="A70" s="4">
        <f t="shared" si="0"/>
        <v>61</v>
      </c>
      <c r="B70" s="6">
        <f t="shared" si="1"/>
        <v>39924.924350594891</v>
      </c>
      <c r="C70" s="6">
        <f t="shared" si="2"/>
        <v>319.39939480475914</v>
      </c>
      <c r="D70" s="6">
        <f t="shared" si="3"/>
        <v>500</v>
      </c>
      <c r="E70" s="6">
        <f t="shared" si="4"/>
        <v>40744.323745399648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2026-01-07T14:47:58Z</dcterms:created>
  <dcterms:modified xsi:type="dcterms:W3CDTF">2026-01-07T15:18:04Z</dcterms:modified>
</cp:coreProperties>
</file>